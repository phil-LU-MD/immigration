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<sst xmlns="http://schemas.openxmlformats.org/spreadsheetml/2006/main" uniqueCount="44">
  <si>
    <t>Table 1</t>
  </si>
  <si>
    <t>Nationalite</t>
  </si>
  <si>
    <t>Nombre</t>
  </si>
  <si>
    <t>01_24</t>
  </si>
  <si>
    <t>02_24</t>
  </si>
  <si>
    <t>03_24</t>
  </si>
  <si>
    <t>04_24</t>
  </si>
  <si>
    <t>05_24</t>
  </si>
  <si>
    <t>06_24</t>
  </si>
  <si>
    <t>07_24</t>
  </si>
  <si>
    <t>08_24</t>
  </si>
  <si>
    <t>09_24</t>
  </si>
  <si>
    <t>10_24</t>
  </si>
  <si>
    <t>11_24</t>
  </si>
  <si>
    <t>Afghanistan</t>
  </si>
  <si>
    <t>Algerie</t>
  </si>
  <si>
    <t>Angola</t>
  </si>
  <si>
    <t>Cameroun</t>
  </si>
  <si>
    <t>Colombie</t>
  </si>
  <si>
    <t>Erythree</t>
  </si>
  <si>
    <t>Ethiopie</t>
  </si>
  <si>
    <t>Georgie</t>
  </si>
  <si>
    <t>Guinee-Conakry</t>
  </si>
  <si>
    <t>Iran</t>
  </si>
  <si>
    <t>Kosovo</t>
  </si>
  <si>
    <t>Liban</t>
  </si>
  <si>
    <t>Maroc</t>
  </si>
  <si>
    <t>Maurice (Iles)</t>
  </si>
  <si>
    <t>Moldavie</t>
  </si>
  <si>
    <t>Nigeria</t>
  </si>
  <si>
    <t>Pakistan</t>
  </si>
  <si>
    <t>RDC</t>
  </si>
  <si>
    <t>Russie</t>
  </si>
  <si>
    <t>Somalie</t>
  </si>
  <si>
    <t>Soudan</t>
  </si>
  <si>
    <t>Syrie</t>
  </si>
  <si>
    <t>Tunisie</t>
  </si>
  <si>
    <t>Turquie</t>
  </si>
  <si>
    <t>Ukraine</t>
  </si>
  <si>
    <t>Venezuela</t>
  </si>
  <si>
    <t>Zimbabwe</t>
  </si>
  <si>
    <t>Autres</t>
  </si>
  <si>
    <t>Total</t>
  </si>
  <si>
    <t xml:space="preserve">The values are not correct as the previous “other” values could not be considered.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</si>
</sst>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20.25" customHeight="1">
      <c r="A3" s="5"/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</row>
    <row r="4" ht="20.05" customHeight="1">
      <c r="A4" t="s" s="8">
        <v>14</v>
      </c>
      <c r="B4" s="9">
        <v>5</v>
      </c>
      <c r="C4" s="10">
        <v>12</v>
      </c>
      <c r="D4" s="11"/>
      <c r="E4" s="11"/>
      <c r="F4" s="11"/>
      <c r="G4" s="10" cm="1">
        <f t="array" ref="G4">23-F4-C4-B4</f>
        <v>6</v>
      </c>
      <c r="H4" s="11"/>
      <c r="I4" s="11"/>
      <c r="J4" s="11"/>
      <c r="K4" s="10">
        <v>5</v>
      </c>
      <c r="L4" s="11"/>
    </row>
    <row r="5" ht="20.05" customHeight="1">
      <c r="A5" t="s" s="8">
        <v>15</v>
      </c>
      <c r="B5" s="12"/>
      <c r="C5" s="10">
        <v>5</v>
      </c>
      <c r="D5" s="11"/>
      <c r="E5" s="11"/>
      <c r="F5" s="10">
        <v>12</v>
      </c>
      <c r="G5" s="10" cm="1">
        <f t="array" ref="G5">25-C5-F5</f>
        <v>8</v>
      </c>
      <c r="H5" s="10">
        <v>7</v>
      </c>
      <c r="I5" s="11"/>
      <c r="J5" s="10">
        <v>11</v>
      </c>
      <c r="K5" s="10">
        <v>23</v>
      </c>
      <c r="L5" s="10" cm="1">
        <f t="array" ref="L5">90-SUM(B5:K5)</f>
        <v>24</v>
      </c>
    </row>
    <row r="6" ht="20.05" customHeight="1">
      <c r="A6" t="s" s="8">
        <v>16</v>
      </c>
      <c r="B6" s="12"/>
      <c r="C6" s="11"/>
      <c r="D6" s="11"/>
      <c r="E6" s="11"/>
      <c r="F6" s="11"/>
      <c r="G6" s="11"/>
      <c r="H6" s="11"/>
      <c r="I6" s="11"/>
      <c r="J6" s="11"/>
      <c r="K6" s="10">
        <v>5</v>
      </c>
      <c r="L6" s="11"/>
    </row>
    <row r="7" ht="20.05" customHeight="1">
      <c r="A7" t="s" s="8">
        <v>17</v>
      </c>
      <c r="B7" s="9">
        <v>8</v>
      </c>
      <c r="C7" s="10">
        <v>5</v>
      </c>
      <c r="D7" s="11"/>
      <c r="E7" s="11"/>
      <c r="F7" s="11"/>
      <c r="G7" s="10" cm="1">
        <f t="array" ref="G7">26-C7-B7</f>
        <v>13</v>
      </c>
      <c r="H7" s="10">
        <v>6</v>
      </c>
      <c r="I7" s="11"/>
      <c r="J7" s="11"/>
      <c r="K7" s="11"/>
      <c r="L7" s="10" cm="1">
        <f t="array" ref="L7">47-SUM(B7:K7)</f>
        <v>15</v>
      </c>
    </row>
    <row r="8" ht="20.05" customHeight="1">
      <c r="A8" t="s" s="8">
        <v>18</v>
      </c>
      <c r="B8" s="12"/>
      <c r="C8" s="10">
        <v>13</v>
      </c>
      <c r="D8" s="10">
        <v>11</v>
      </c>
      <c r="E8" s="11"/>
      <c r="F8" s="10">
        <v>12</v>
      </c>
      <c r="G8" s="10" cm="1">
        <f t="array" ref="G8">46-F8-D8-C8</f>
        <v>10</v>
      </c>
      <c r="H8" s="10">
        <v>5</v>
      </c>
      <c r="I8" s="10">
        <v>10</v>
      </c>
      <c r="J8" s="10">
        <v>8</v>
      </c>
      <c r="K8" s="10">
        <v>7</v>
      </c>
      <c r="L8" s="10" cm="1">
        <f t="array" ref="L8">86-SUM(B8:K8)</f>
        <v>10</v>
      </c>
    </row>
    <row r="9" ht="20.05" customHeight="1">
      <c r="A9" t="s" s="8">
        <v>19</v>
      </c>
      <c r="B9" s="9">
        <v>34</v>
      </c>
      <c r="C9" s="10">
        <v>36</v>
      </c>
      <c r="D9" s="10">
        <v>35</v>
      </c>
      <c r="E9" s="10">
        <v>25</v>
      </c>
      <c r="F9" s="10">
        <v>36</v>
      </c>
      <c r="G9" s="10" cm="1">
        <f t="array" ref="G9">193-(F9+B9+C9+D9+E9)</f>
        <v>27</v>
      </c>
      <c r="H9" s="10">
        <v>35</v>
      </c>
      <c r="I9" s="10">
        <v>30</v>
      </c>
      <c r="J9" s="10">
        <v>40</v>
      </c>
      <c r="K9" s="10">
        <v>41</v>
      </c>
      <c r="L9" s="10" cm="1">
        <f t="array" ref="L9">360-SUM(B9:K9)</f>
        <v>21</v>
      </c>
    </row>
    <row r="10" ht="20.05" customHeight="1">
      <c r="A10" t="s" s="8">
        <v>20</v>
      </c>
      <c r="B10" s="9">
        <v>5</v>
      </c>
      <c r="C10" s="11"/>
      <c r="D10" s="10">
        <v>9</v>
      </c>
      <c r="E10" s="11"/>
      <c r="F10" s="10">
        <v>11</v>
      </c>
      <c r="G10" s="10" cm="1">
        <f t="array" ref="G10">33-D10-B10-F10</f>
        <v>8</v>
      </c>
      <c r="H10" s="11"/>
      <c r="I10" s="11"/>
      <c r="J10" s="11"/>
      <c r="K10" s="11"/>
      <c r="L10" s="11"/>
    </row>
    <row r="11" ht="20.05" customHeight="1">
      <c r="A11" t="s" s="8">
        <v>21</v>
      </c>
      <c r="B11" s="12"/>
      <c r="C11" s="11"/>
      <c r="D11" s="11"/>
      <c r="E11" s="11"/>
      <c r="F11" s="11"/>
      <c r="G11" s="11"/>
      <c r="H11" s="10">
        <v>5</v>
      </c>
      <c r="I11" s="11"/>
      <c r="J11" s="11"/>
      <c r="K11" s="11"/>
      <c r="L11" s="11"/>
    </row>
    <row r="12" ht="20.05" customHeight="1">
      <c r="A12" t="s" s="8">
        <v>22</v>
      </c>
      <c r="B12" s="9">
        <v>13</v>
      </c>
      <c r="C12" s="10">
        <v>7</v>
      </c>
      <c r="D12" s="10">
        <v>5</v>
      </c>
      <c r="E12" s="10">
        <v>5</v>
      </c>
      <c r="F12" s="10">
        <v>5</v>
      </c>
      <c r="G12" s="10" cm="1">
        <f t="array" ref="G12">38-E12-D12-C12-B12-F12</f>
        <v>3</v>
      </c>
      <c r="H12" s="10">
        <v>6</v>
      </c>
      <c r="I12" s="10">
        <v>6</v>
      </c>
      <c r="J12" s="11"/>
      <c r="K12" s="11"/>
      <c r="L12" s="10" cm="1">
        <f t="array" ref="L12">59-SUM(B12:K12)</f>
        <v>9</v>
      </c>
    </row>
    <row r="13" ht="20.05" customHeight="1">
      <c r="A13" t="s" s="8">
        <v>23</v>
      </c>
      <c r="B13" s="12"/>
      <c r="C13" s="11"/>
      <c r="D13" s="11"/>
      <c r="E13" s="10">
        <v>5</v>
      </c>
      <c r="F13" s="11"/>
      <c r="G13" s="11"/>
      <c r="H13" s="11"/>
      <c r="I13" s="10">
        <v>6</v>
      </c>
      <c r="J13" s="11"/>
      <c r="K13" s="11"/>
      <c r="L13" s="11"/>
    </row>
    <row r="14" ht="20.05" customHeight="1">
      <c r="A14" t="s" s="8">
        <v>24</v>
      </c>
      <c r="B14" s="12"/>
      <c r="C14" s="11"/>
      <c r="D14" s="11"/>
      <c r="E14" s="10">
        <v>7</v>
      </c>
      <c r="F14" s="10">
        <v>8</v>
      </c>
      <c r="G14" s="10" cm="1">
        <f t="array" ref="G14">18-E14-F14</f>
        <v>3</v>
      </c>
      <c r="H14" s="10">
        <v>9</v>
      </c>
      <c r="I14" s="11"/>
      <c r="J14" s="10">
        <v>5</v>
      </c>
      <c r="K14" s="11"/>
      <c r="L14" s="11"/>
    </row>
    <row r="15" ht="20.05" customHeight="1">
      <c r="A15" t="s" s="8">
        <v>25</v>
      </c>
      <c r="B15" s="12"/>
      <c r="C15" s="11"/>
      <c r="D15" s="11"/>
      <c r="E15" s="11"/>
      <c r="F15" s="11"/>
      <c r="G15" s="11"/>
      <c r="H15" s="11"/>
      <c r="I15" s="11"/>
      <c r="J15" s="11"/>
      <c r="K15" s="10">
        <v>5</v>
      </c>
      <c r="L15" s="11"/>
    </row>
    <row r="16" ht="20.05" customHeight="1">
      <c r="A16" t="s" s="8">
        <v>26</v>
      </c>
      <c r="B16" s="12"/>
      <c r="C16" s="11"/>
      <c r="D16" s="10">
        <v>6</v>
      </c>
      <c r="E16" s="10">
        <v>5</v>
      </c>
      <c r="F16" s="11"/>
      <c r="G16" s="11"/>
      <c r="H16" s="10">
        <v>5</v>
      </c>
      <c r="I16" s="10">
        <v>5</v>
      </c>
      <c r="J16" s="11"/>
      <c r="K16" s="10">
        <v>12</v>
      </c>
      <c r="L16" s="10" cm="1">
        <f t="array" ref="L16">51-SUM(B16:K16)</f>
        <v>18</v>
      </c>
    </row>
    <row r="17" ht="20.05" customHeight="1">
      <c r="A17" t="s" s="8">
        <v>27</v>
      </c>
      <c r="B17" s="12"/>
      <c r="C17" s="10">
        <v>5</v>
      </c>
      <c r="D17" s="11"/>
      <c r="E17" s="11"/>
      <c r="F17" s="11"/>
      <c r="G17" s="11"/>
      <c r="H17" s="11"/>
      <c r="I17" s="11"/>
      <c r="J17" s="11"/>
      <c r="K17" s="11"/>
      <c r="L17" s="11"/>
    </row>
    <row r="18" ht="20.05" customHeight="1">
      <c r="A18" t="s" s="8">
        <v>28</v>
      </c>
      <c r="B18" s="9">
        <v>11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20.05" customHeight="1">
      <c r="A19" t="s" s="8">
        <v>29</v>
      </c>
      <c r="B19" s="12"/>
      <c r="C19" s="11"/>
      <c r="D19" s="11"/>
      <c r="E19" s="11"/>
      <c r="F19" s="11"/>
      <c r="G19" s="11"/>
      <c r="H19" s="11"/>
      <c r="I19" s="11"/>
      <c r="J19" s="11"/>
      <c r="K19" s="10">
        <v>5</v>
      </c>
      <c r="L19" s="11"/>
    </row>
    <row r="20" ht="20.05" customHeight="1">
      <c r="A20" t="s" s="8">
        <v>30</v>
      </c>
      <c r="B20" s="12"/>
      <c r="C20" s="11"/>
      <c r="D20" s="11"/>
      <c r="E20" s="10">
        <v>5</v>
      </c>
      <c r="F20" s="11"/>
      <c r="G20" s="11"/>
      <c r="H20" s="11"/>
      <c r="I20" s="11"/>
      <c r="J20" s="11"/>
      <c r="K20" s="11"/>
      <c r="L20" s="11"/>
    </row>
    <row r="21" ht="20.05" customHeight="1">
      <c r="A21" t="s" s="8">
        <v>31</v>
      </c>
      <c r="B21" s="12"/>
      <c r="C21" s="10">
        <v>5</v>
      </c>
      <c r="D21" s="11"/>
      <c r="E21" s="11"/>
      <c r="F21" s="11"/>
      <c r="G21" s="11"/>
      <c r="H21" s="11"/>
      <c r="I21" s="11"/>
      <c r="J21" s="10">
        <v>9</v>
      </c>
      <c r="K21" s="11"/>
      <c r="L21" s="11"/>
    </row>
    <row r="22" ht="20.05" customHeight="1">
      <c r="A22" t="s" s="8">
        <v>32</v>
      </c>
      <c r="B22" s="9">
        <v>6</v>
      </c>
      <c r="C22" s="11"/>
      <c r="D22" s="11"/>
      <c r="E22" s="11"/>
      <c r="F22" s="11"/>
      <c r="G22" s="11"/>
      <c r="H22" s="11"/>
      <c r="I22" s="11"/>
      <c r="J22" s="11"/>
      <c r="K22" s="10">
        <v>7</v>
      </c>
      <c r="L22" s="11"/>
    </row>
    <row r="23" ht="20.05" customHeight="1">
      <c r="A23" t="s" s="8">
        <v>33</v>
      </c>
      <c r="B23" s="12"/>
      <c r="C23" s="11"/>
      <c r="D23" s="11"/>
      <c r="E23" s="10">
        <v>8</v>
      </c>
      <c r="F23" s="11"/>
      <c r="G23" s="11"/>
      <c r="H23" s="11"/>
      <c r="I23" s="11"/>
      <c r="J23" s="10">
        <v>5</v>
      </c>
      <c r="K23" s="11"/>
      <c r="L23" s="11"/>
    </row>
    <row r="24" ht="20.05" customHeight="1">
      <c r="A24" t="s" s="8">
        <v>34</v>
      </c>
      <c r="B24" s="12"/>
      <c r="C24" s="10">
        <v>6</v>
      </c>
      <c r="D24" s="11"/>
      <c r="E24" s="11"/>
      <c r="F24" s="11"/>
      <c r="G24" s="11"/>
      <c r="H24" s="11"/>
      <c r="I24" s="11"/>
      <c r="J24" s="11"/>
      <c r="K24" s="11"/>
      <c r="L24" s="11"/>
    </row>
    <row r="25" ht="20.05" customHeight="1">
      <c r="A25" t="s" s="8">
        <v>35</v>
      </c>
      <c r="B25" s="9">
        <v>27</v>
      </c>
      <c r="C25" s="10">
        <v>12</v>
      </c>
      <c r="D25" s="10">
        <v>14</v>
      </c>
      <c r="E25" s="10">
        <v>20</v>
      </c>
      <c r="F25" s="10">
        <v>22</v>
      </c>
      <c r="G25" s="10" cm="1">
        <f t="array" ref="G25">115-(F25+E25+D25+C25+B25)</f>
        <v>20</v>
      </c>
      <c r="H25" s="10">
        <v>15</v>
      </c>
      <c r="I25" s="10">
        <v>21</v>
      </c>
      <c r="J25" s="10">
        <v>24</v>
      </c>
      <c r="K25" s="10">
        <v>32</v>
      </c>
      <c r="L25" s="10" cm="1">
        <f t="array" ref="L25">242-SUM(B25:K25)</f>
        <v>35</v>
      </c>
    </row>
    <row r="26" ht="20.05" customHeight="1">
      <c r="A26" t="s" s="8">
        <v>36</v>
      </c>
      <c r="B26" s="12"/>
      <c r="C26" s="11"/>
      <c r="D26" s="11"/>
      <c r="E26" s="11"/>
      <c r="F26" s="11"/>
      <c r="G26" s="11"/>
      <c r="H26" s="11"/>
      <c r="I26" s="11"/>
      <c r="J26" s="10">
        <v>5</v>
      </c>
      <c r="K26" s="10">
        <v>12</v>
      </c>
      <c r="L26" s="10" cm="1">
        <f t="array" ref="L26">41-SUM(B26:K26)</f>
        <v>24</v>
      </c>
    </row>
    <row r="27" ht="20.05" customHeight="1">
      <c r="A27" t="s" s="8">
        <v>37</v>
      </c>
      <c r="B27" s="12"/>
      <c r="C27" s="11"/>
      <c r="D27" s="11"/>
      <c r="E27" s="11"/>
      <c r="F27" s="11"/>
      <c r="G27" s="11"/>
      <c r="H27" s="10">
        <v>12</v>
      </c>
      <c r="I27" s="10">
        <v>8</v>
      </c>
      <c r="J27" s="10">
        <v>30</v>
      </c>
      <c r="K27" s="10">
        <v>21</v>
      </c>
      <c r="L27" s="10" cm="1">
        <f t="array" ref="L27">101-SUM(B27:K27)</f>
        <v>30</v>
      </c>
    </row>
    <row r="28" ht="20.05" customHeight="1">
      <c r="A28" t="s" s="8">
        <v>38</v>
      </c>
      <c r="B28" s="12"/>
      <c r="C28" s="11"/>
      <c r="D28" s="11"/>
      <c r="E28" s="10">
        <v>6</v>
      </c>
      <c r="F28" s="11"/>
      <c r="G28" s="11"/>
      <c r="H28" s="11"/>
      <c r="I28" s="11"/>
      <c r="J28" s="10">
        <v>5</v>
      </c>
      <c r="K28" s="10">
        <v>7</v>
      </c>
      <c r="L28" s="11"/>
    </row>
    <row r="29" ht="20.05" customHeight="1">
      <c r="A29" t="s" s="8">
        <v>39</v>
      </c>
      <c r="B29" s="9">
        <v>17</v>
      </c>
      <c r="C29" s="11"/>
      <c r="D29" s="10">
        <v>8</v>
      </c>
      <c r="E29" s="11"/>
      <c r="F29" s="11"/>
      <c r="G29" s="10" cm="1">
        <f t="array" ref="G29">33-D29-B29</f>
        <v>8</v>
      </c>
      <c r="H29" s="10">
        <v>14</v>
      </c>
      <c r="I29" s="10">
        <v>7</v>
      </c>
      <c r="J29" s="11"/>
      <c r="K29" s="10">
        <v>19</v>
      </c>
      <c r="L29" s="10" cm="1">
        <f t="array" ref="L29">105-SUM(B29:K29)</f>
        <v>32</v>
      </c>
    </row>
    <row r="30" ht="20.05" customHeight="1">
      <c r="A30" t="s" s="8">
        <v>40</v>
      </c>
      <c r="B30" s="12"/>
      <c r="C30" s="11"/>
      <c r="D30" s="11"/>
      <c r="E30" s="11"/>
      <c r="F30" s="11"/>
      <c r="G30" s="11"/>
      <c r="H30" s="11"/>
      <c r="I30" s="11"/>
      <c r="J30" s="11"/>
      <c r="K30" s="10">
        <v>5</v>
      </c>
      <c r="L30" s="11"/>
    </row>
    <row r="31" ht="20.05" customHeight="1">
      <c r="A31" t="s" s="8">
        <v>41</v>
      </c>
      <c r="B31" s="9">
        <v>35</v>
      </c>
      <c r="C31" s="10">
        <v>55</v>
      </c>
      <c r="D31" s="10">
        <v>57</v>
      </c>
      <c r="E31" s="10">
        <v>33</v>
      </c>
      <c r="F31" s="10">
        <v>35</v>
      </c>
      <c r="G31" s="10" cm="1">
        <f t="array" ref="G31">277-F31-E31-D31-C31-B31</f>
        <v>62</v>
      </c>
      <c r="H31" s="10">
        <v>29</v>
      </c>
      <c r="I31" s="10">
        <v>60</v>
      </c>
      <c r="J31" s="10">
        <v>35</v>
      </c>
      <c r="K31" s="10">
        <v>46</v>
      </c>
      <c r="L31" s="10" cm="1">
        <f t="array" ref="L31">586-SUM(B31:K31)</f>
        <v>139</v>
      </c>
    </row>
    <row r="32" ht="20.05" customHeight="1">
      <c r="A32" t="s" s="8">
        <v>42</v>
      </c>
      <c r="B32" s="9" cm="1">
        <f t="array" ref="B32">SUM(B4:B31)</f>
        <v>161</v>
      </c>
      <c r="C32" s="10" cm="1">
        <f t="array" ref="C32">SUM(C4:C31)</f>
        <v>161</v>
      </c>
      <c r="D32" s="10" cm="1">
        <f t="array" ref="D32">SUM(D4:D31)</f>
        <v>145</v>
      </c>
      <c r="E32" s="10" cm="1">
        <f t="array" ref="E32">SUM(E4:E31)</f>
        <v>119</v>
      </c>
      <c r="F32" s="10" cm="1">
        <f t="array" ref="F32">SUM(F4:F31)</f>
        <v>141</v>
      </c>
      <c r="G32" s="10" cm="1">
        <f t="array" ref="G32">SUM(G4:G31)</f>
        <v>168</v>
      </c>
      <c r="H32" s="10" cm="1">
        <f t="array" ref="H32">SUM(H4:H31)</f>
        <v>148</v>
      </c>
      <c r="I32" s="10" cm="1">
        <f t="array" ref="I32">SUM(I4:I31)</f>
        <v>153</v>
      </c>
      <c r="J32" s="10" cm="1">
        <f t="array" ref="J32">SUM(J4:J31)</f>
        <v>177</v>
      </c>
      <c r="K32" s="10" cm="1">
        <f t="array" ref="K32">SUM(K4:K31)</f>
        <v>252</v>
      </c>
      <c r="L32" s="10" cm="1">
        <f t="array" ref="L32">SUM(L4:L31)</f>
        <v>357</v>
      </c>
    </row>
    <row r="33" ht="20.05" customHeight="1">
      <c r="A33" s="13"/>
      <c r="B33" s="12"/>
      <c r="C33" s="11"/>
      <c r="D33" s="11"/>
      <c r="E33" s="11"/>
      <c r="F33" s="11"/>
      <c r="G33" s="10" cm="1">
        <f t="array" ref="G33">SUM(B32:G32)</f>
        <v>895</v>
      </c>
      <c r="H33" s="11"/>
      <c r="I33" s="11"/>
      <c r="J33" s="11"/>
      <c r="K33" s="11"/>
      <c r="L33" s="10" cm="1">
        <f t="array" ref="L33">SUM(B32:L32)</f>
        <v>1982</v>
      </c>
    </row>
    <row r="34" ht="68.05" customHeight="1">
      <c r="A34" s="13"/>
      <c r="B34" s="12"/>
      <c r="C34" s="11"/>
      <c r="D34" s="11"/>
      <c r="E34" s="11"/>
      <c r="F34" s="11"/>
      <c r="G34" t="s" s="14">
        <v>43</v>
      </c>
      <c r="H34" s="11"/>
      <c r="I34" s="11"/>
      <c r="J34" s="11"/>
      <c r="K34" s="11"/>
      <c r="L34" t="s" s="14">
        <v>43</v>
      </c>
    </row>
    <row r="35" ht="20.05" customHeight="1">
      <c r="A35" s="13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ht="20.05" customHeight="1">
      <c r="A36" s="13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ht="20.05" customHeight="1">
      <c r="A37" s="13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ht="20.05" customHeight="1">
      <c r="A38" s="13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ht="20.05" customHeight="1">
      <c r="A39" s="13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20.05" customHeight="1">
      <c r="A40" s="13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20.05" customHeight="1">
      <c r="A41" s="13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ht="20.05" customHeight="1">
      <c r="A42" s="13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</row>
  </sheetData>
  <mergeCells count="1">
    <mergeCell ref="A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